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codeName="ThisWorkbook"/>
  <xr:revisionPtr revIDLastSave="0" documentId="13_ncr:1_{3895518D-98EE-4DA5-8528-BCA1F6B3F9E0}" xr6:coauthVersionLast="47" xr6:coauthVersionMax="47" xr10:uidLastSave="{00000000-0000-0000-0000-000000000000}"/>
  <bookViews>
    <workbookView xWindow="-120" yWindow="-120" windowWidth="20730" windowHeight="11040" activeTab="1" xr2:uid="{00000000-000D-0000-FFFF-FFFF00000000}"/>
  </bookViews>
  <sheets>
    <sheet name="JULIO" sheetId="7" r:id="rId1"/>
    <sheet name="AGOSTO" sheetId="8" r:id="rId2"/>
  </sheets>
  <definedNames>
    <definedName name="calendario" localSheetId="1">daygrid+AGOSTO!firstdate-WEEKDAY(AGOSTO!firstdate)-AGOSTO!opción_díadelasemana</definedName>
    <definedName name="calendario" localSheetId="0">daygrid+JULIO!firstdate-WEEKDAY(JULIO!firstdate)-JULIO!opción_díadelasemana</definedName>
    <definedName name="calendario">daygrid+[0]!firstdate-WEEKDAY([0]!firstdate)-[0]!opción_díadelasemana</definedName>
    <definedName name="daygrid">días+semanas*7</definedName>
    <definedName name="daypattern">{1,1,2,2,3,3,4,4,5,5,6,6,7}</definedName>
    <definedName name="DayToStart" localSheetId="1">AGOSTO!$E$1</definedName>
    <definedName name="DayToStart" localSheetId="0">JULIO!$E$1</definedName>
    <definedName name="DayToStart">#REF!</definedName>
    <definedName name="días">{0,1,2,3,4,5,6}</definedName>
    <definedName name="días_laborables">{"LUNES","MARTES","MIÉRCOLES","JUEVES","VIERNES","SÁBADO","DOMINGO"}</definedName>
    <definedName name="fechadeinicio" localSheetId="1">DATE(AGOSTO!YearToDisplay,AGOSTO!mes,1)</definedName>
    <definedName name="fechadeinicio" localSheetId="0">DATE(JULIO!YearToDisplay,JULIO!mes,1)</definedName>
    <definedName name="firstdate" localSheetId="1">DATE(AGOSTO!YearToDisplay,AGOSTO!mes,1)</definedName>
    <definedName name="firstdate" localSheetId="0">DATE(JULIO!YearToDisplay,JULIO!mes,1)</definedName>
    <definedName name="firstdate">DATE([0]!YearToDisplay,[0]!mes,1)</definedName>
    <definedName name="mes" localSheetId="1">MATCH(AGOSTO!MonthToDisplay,meses,0)</definedName>
    <definedName name="mes" localSheetId="0">MATCH(JULIO!MonthToDisplay,meses,0)</definedName>
    <definedName name="mes">MATCH([0]!MonthToDisplay,meses,0)</definedName>
    <definedName name="meses">{"ENERO","FEBRERO","MARZO","ABRIL","MAYO","JUNIO","JULIO","AGOSTO","SEPTIEMBRE","OCTUBRE","NOVIEMBRE","DICIEMBRE"}</definedName>
    <definedName name="MonthToDisplay" localSheetId="1">AGOSTO!$C$1</definedName>
    <definedName name="MonthToDisplay" localSheetId="0">JULIO!$C$1</definedName>
    <definedName name="MonthToDisplay">#REF!</definedName>
    <definedName name="MonthToDisplayNumber" localSheetId="1">MATCH(AGOSTO!MonthToDisplay,meses,0)</definedName>
    <definedName name="MonthToDisplayNumber" localSheetId="0">MATCH(JULIO!MonthToDisplay,meses,0)</definedName>
    <definedName name="MonthToDisplayNumber">MATCH([0]!MonthToDisplay,meses,0)</definedName>
    <definedName name="ndx" localSheetId="1">ROUNDUP(MATCH(2,1/FREQUENCY(DATE(AGOSTO!YearToDisplay,AGOSTO!MonthToDisplayNumber,1),AGOSTO!calendario))/7,0)</definedName>
    <definedName name="ndx" localSheetId="0">ROUNDUP(MATCH(2,1/FREQUENCY(DATE(JULIO!YearToDisplay,JULIO!MonthToDisplayNumber,1),JULIO!calendario))/7,0)</definedName>
    <definedName name="opción_díadelasemana" localSheetId="1">MATCH(AGOSTO!DayToStart,weekdays_reversed,0)-2</definedName>
    <definedName name="opción_díadelasemana" localSheetId="0">MATCH(JULIO!DayToStart,weekdays_reversed,0)-2</definedName>
    <definedName name="opción_díadelasemana">MATCH(DayToStart,weekdays_reversed,0)-2</definedName>
    <definedName name="semanas">{0;1;2;3;4;5;6}</definedName>
    <definedName name="_xlnm.Print_Titles" localSheetId="1">AGOSTO!$3:$3</definedName>
    <definedName name="_xlnm.Print_Titles" localSheetId="0">JULIO!$3:$3</definedName>
    <definedName name="weekdays_reversed">{"DOMINGO","SÁBADO","VIERNES","JUEVES","MIÉRCOLES","MARTES","LUNES"}</definedName>
    <definedName name="YearToDisplay" localSheetId="1">AGOSTO!$B$1</definedName>
    <definedName name="YearToDisplay" localSheetId="0">JULIO!$B$1</definedName>
    <definedName name="YearToDisplay">#REF!</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 i="8" l="1"/>
  <c r="B14" i="8" s="1" a="1"/>
  <c r="B1" i="7"/>
  <c r="B4" i="7" s="1" a="1"/>
  <c r="C4" i="7" s="1"/>
  <c r="H14" i="8" l="1"/>
  <c r="F14" i="8"/>
  <c r="D14" i="8"/>
  <c r="G14" i="8"/>
  <c r="B12" i="8" a="1"/>
  <c r="E12" i="8" s="1"/>
  <c r="B4" i="8" a="1"/>
  <c r="E4" i="8" s="1"/>
  <c r="B8" i="8" a="1"/>
  <c r="E8" i="8" s="1"/>
  <c r="C14" i="8"/>
  <c r="D4" i="7"/>
  <c r="G4" i="7"/>
  <c r="F4" i="7"/>
  <c r="H4" i="7"/>
  <c r="B14" i="7" a="1"/>
  <c r="B3" i="7" a="1"/>
  <c r="B8" i="7" a="1"/>
  <c r="B10" i="7" a="1"/>
  <c r="B6" i="7" a="1"/>
  <c r="E4" i="7"/>
  <c r="E14" i="8"/>
  <c r="B14" i="8"/>
  <c r="B4" i="7"/>
  <c r="B12" i="7" a="1"/>
  <c r="B3" i="8" a="1"/>
  <c r="B6" i="8" a="1"/>
  <c r="B10" i="8" a="1"/>
  <c r="D4" i="8" l="1"/>
  <c r="C4" i="8"/>
  <c r="G12" i="8"/>
  <c r="B4" i="8"/>
  <c r="G4" i="8"/>
  <c r="D12" i="8"/>
  <c r="F8" i="8"/>
  <c r="H4" i="8"/>
  <c r="F4" i="8"/>
  <c r="G8" i="8"/>
  <c r="C8" i="8"/>
  <c r="B8" i="8"/>
  <c r="D8" i="8"/>
  <c r="H8" i="8"/>
  <c r="H12" i="8"/>
  <c r="C12" i="8"/>
  <c r="B12" i="8"/>
  <c r="F12" i="8"/>
  <c r="D6" i="7"/>
  <c r="F6" i="7"/>
  <c r="B6" i="7"/>
  <c r="H6" i="7"/>
  <c r="G6" i="7"/>
  <c r="E6" i="7"/>
  <c r="C6" i="7"/>
  <c r="D10" i="7"/>
  <c r="H10" i="7"/>
  <c r="B10" i="7"/>
  <c r="C10" i="7"/>
  <c r="F10" i="7"/>
  <c r="E10" i="7"/>
  <c r="G10" i="7"/>
  <c r="H6" i="8"/>
  <c r="D6" i="8"/>
  <c r="F6" i="8"/>
  <c r="C6" i="8"/>
  <c r="G6" i="8"/>
  <c r="E6" i="8"/>
  <c r="B6" i="8"/>
  <c r="H3" i="8"/>
  <c r="B3" i="8"/>
  <c r="D3" i="8"/>
  <c r="C3" i="8"/>
  <c r="G3" i="8"/>
  <c r="F3" i="8"/>
  <c r="E3" i="8"/>
  <c r="H8" i="7"/>
  <c r="B8" i="7"/>
  <c r="G8" i="7"/>
  <c r="F8" i="7"/>
  <c r="C8" i="7"/>
  <c r="E8" i="7"/>
  <c r="D8" i="7"/>
  <c r="H3" i="7"/>
  <c r="B3" i="7"/>
  <c r="D3" i="7"/>
  <c r="G3" i="7"/>
  <c r="F3" i="7"/>
  <c r="E3" i="7"/>
  <c r="C3" i="7"/>
  <c r="E12" i="7"/>
  <c r="D12" i="7"/>
  <c r="B12" i="7"/>
  <c r="H12" i="7"/>
  <c r="G12" i="7"/>
  <c r="F12" i="7"/>
  <c r="C12" i="7"/>
  <c r="E10" i="8"/>
  <c r="H10" i="8"/>
  <c r="F10" i="8"/>
  <c r="B10" i="8"/>
  <c r="C10" i="8"/>
  <c r="G10" i="8"/>
  <c r="D10" i="8"/>
  <c r="E14" i="7"/>
  <c r="H14" i="7"/>
  <c r="D14" i="7"/>
  <c r="B14" i="7"/>
  <c r="F14" i="7"/>
  <c r="C14" i="7"/>
  <c r="G14" i="7"/>
</calcChain>
</file>

<file path=xl/sharedStrings.xml><?xml version="1.0" encoding="utf-8"?>
<sst xmlns="http://schemas.openxmlformats.org/spreadsheetml/2006/main" count="38" uniqueCount="32">
  <si>
    <t>LUNES</t>
  </si>
  <si>
    <t xml:space="preserve">  AÑO CALENDARIO</t>
  </si>
  <si>
    <t>MES DEL CALENDARIO</t>
  </si>
  <si>
    <t>PRIMER DÍA DE LA SEMANA</t>
  </si>
  <si>
    <t>FESTIVO</t>
  </si>
  <si>
    <t>JULIO</t>
  </si>
  <si>
    <t>AGOSTO</t>
  </si>
  <si>
    <t xml:space="preserve">Reunión institucional </t>
  </si>
  <si>
    <t>Recorrido con prensa</t>
  </si>
  <si>
    <t xml:space="preserve">Planeación </t>
  </si>
  <si>
    <t xml:space="preserve">Aplicación encuestas de percepción </t>
  </si>
  <si>
    <t xml:space="preserve">9:00 am Entrega del punto acta de compromiso y corresponsabilidad. </t>
  </si>
  <si>
    <t>9: 00 am Jornada de sensibilización Gestores ALSF Cuadrante 2, 4 y 6 Separación en la Fuente y excretas.</t>
  </si>
  <si>
    <t xml:space="preserve">8:00 am Reunión de socialización con el equipo base
11: 00 am Jornada de sensibilización Gestores ALSF Cuadrante 5 Devuélvete con tu bolsa
</t>
  </si>
  <si>
    <t>9:00 am Ronda de control y Devuélvete con tu bolsa</t>
  </si>
  <si>
    <t>9:00 am Barretón. 
1:00 pm Horarios y frecuencias y movilidad</t>
  </si>
  <si>
    <t>9: 00 am Ronda de control y Devuélvete con tu bolsa</t>
  </si>
  <si>
    <t>1:00 pm Horarios y frecuencias perifoneo para sacar los residuos UAESP y promoambiental</t>
  </si>
  <si>
    <t xml:space="preserve">9:00 am Generación ruta selectiva en articulación con los gestores históricos. 
Connvocatoria jornada apropiate de tu territorio. </t>
  </si>
  <si>
    <t xml:space="preserve">9:oo Jornada apropiate de tu territorio. </t>
  </si>
  <si>
    <t xml:space="preserve">9: 00 am Articulación Proceso de agricultura urbana con el colegio. </t>
  </si>
  <si>
    <t xml:space="preserve">9: 00 am Jornada de Protección y Bienestar Animal - PYBA. </t>
  </si>
  <si>
    <t>9:00 Perifoneo</t>
  </si>
  <si>
    <t>Plan de intervenciones Punto 3 y 6</t>
  </si>
  <si>
    <t xml:space="preserve">9:00 am Barretón.  </t>
  </si>
  <si>
    <t xml:space="preserve">9: 00 am  Devuelvete con tu bolsa. </t>
  </si>
  <si>
    <t xml:space="preserve">9: 00 AM Jornada de apropiación mural en el colegio. </t>
  </si>
  <si>
    <t>6:00 pm jornada cazainfractores</t>
  </si>
  <si>
    <t xml:space="preserve">9: 00 am Mantenimiento de la Intervención física de la matera. </t>
  </si>
  <si>
    <t xml:space="preserve">9: 00 am Jornada de sensibilización Gestores ALSF Cuadrante 2, 4 y 6 Residuos posconsumo y organicos. </t>
  </si>
  <si>
    <t xml:space="preserve">9: 00 AM Jornada cazainfractores excretas. </t>
  </si>
  <si>
    <t>7:00 am FESTIVAL DE LOS RESIDUOS Escombros.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</si>
</sst>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aaaa"/>
    <numFmt numFmtId="165" formatCode="dd"/>
  </numFmts>
  <fonts count="8" x14ac:knownFonts="1">
    <font>
      <sz val="11"/>
      <color theme="1"/>
      <name val="Calibri Light"/>
      <family val="2"/>
      <scheme val="minor"/>
    </font>
    <font>
      <sz val="32"/>
      <color theme="3"/>
      <name val="Calibri"/>
      <family val="2"/>
      <scheme val="major"/>
    </font>
    <font>
      <sz val="9"/>
      <color theme="1"/>
      <name val="Calibri Light"/>
      <family val="2"/>
      <scheme val="minor"/>
    </font>
    <font>
      <sz val="32"/>
      <color theme="4" tint="-0.24994659260841701"/>
      <name val="Calibri"/>
      <family val="2"/>
      <scheme val="major"/>
    </font>
    <font>
      <sz val="11"/>
      <color theme="1" tint="0.34998626667073579"/>
      <name val="Calibri Light"/>
      <family val="2"/>
      <scheme val="minor"/>
    </font>
    <font>
      <sz val="11"/>
      <color theme="1"/>
      <name val="Calibri"/>
      <family val="2"/>
      <scheme val="major"/>
    </font>
    <font>
      <sz val="12"/>
      <color theme="1"/>
      <name val="Calibri"/>
      <family val="2"/>
      <scheme val="major"/>
    </font>
    <font>
      <b/>
      <sz val="14"/>
      <color theme="1"/>
      <name val="Calibri Light"/>
      <family val="2"/>
      <scheme val="minor"/>
    </font>
  </fonts>
  <fills count="3">
    <fill>
      <patternFill patternType="none"/>
    </fill>
    <fill>
      <patternFill patternType="gray125"/>
    </fill>
    <fill>
      <patternFill patternType="solid">
        <fgColor rgb="FFFF0000"/>
        <bgColor indexed="64"/>
      </patternFill>
    </fill>
  </fills>
  <borders count="6">
    <border>
      <left/>
      <right/>
      <top/>
      <bottom/>
      <diagonal/>
    </border>
    <border>
      <left style="thin">
        <color theme="0" tint="-0.24994659260841701"/>
      </left>
      <right style="thin">
        <color theme="0" tint="-0.24994659260841701"/>
      </right>
      <top style="thick">
        <color theme="1" tint="0.1499679555650502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bottom style="medium">
        <color theme="1" tint="0.14996795556505021"/>
      </bottom>
      <diagonal/>
    </border>
    <border>
      <left style="thin">
        <color theme="0" tint="-0.24994659260841701"/>
      </left>
      <right style="thin">
        <color theme="0" tint="-0.24994659260841701"/>
      </right>
      <top/>
      <bottom/>
      <diagonal/>
    </border>
  </borders>
  <cellStyleXfs count="9">
    <xf numFmtId="0" fontId="0" fillId="0" borderId="0" applyBorder="0">
      <alignment vertical="top"/>
    </xf>
    <xf numFmtId="0" fontId="4" fillId="0" borderId="0" applyNumberFormat="0" applyFill="0" applyBorder="0" applyProtection="0">
      <alignment vertical="top"/>
    </xf>
    <xf numFmtId="0" fontId="1" fillId="0" borderId="0" applyProtection="0">
      <alignment horizontal="left"/>
    </xf>
    <xf numFmtId="0" fontId="3" fillId="0" borderId="0" applyNumberFormat="0" applyProtection="0">
      <alignment horizontal="left"/>
    </xf>
    <xf numFmtId="0" fontId="5" fillId="0" borderId="0" applyNumberFormat="0" applyProtection="0">
      <alignment horizontal="right"/>
    </xf>
    <xf numFmtId="164" fontId="6" fillId="0" borderId="4" applyFill="0" applyProtection="0">
      <alignment horizontal="center" vertical="center"/>
    </xf>
    <xf numFmtId="165" fontId="5" fillId="0" borderId="5" applyFill="0" applyProtection="0">
      <alignment horizontal="right" vertical="center" indent="1"/>
    </xf>
    <xf numFmtId="0" fontId="2" fillId="0" borderId="2">
      <alignment vertical="top" wrapText="1"/>
    </xf>
    <xf numFmtId="0" fontId="4" fillId="0" borderId="0" applyFill="0" applyBorder="0" applyProtection="0">
      <alignment horizontal="right" vertical="top"/>
    </xf>
  </cellStyleXfs>
  <cellXfs count="13">
    <xf numFmtId="0" fontId="0" fillId="0" borderId="0" xfId="0">
      <alignment vertical="top"/>
    </xf>
    <xf numFmtId="0" fontId="4" fillId="0" borderId="0" xfId="1">
      <alignment vertical="top"/>
    </xf>
    <xf numFmtId="164" fontId="6" fillId="0" borderId="4" xfId="5">
      <alignment horizontal="center" vertical="center"/>
    </xf>
    <xf numFmtId="165" fontId="5" fillId="0" borderId="1" xfId="6" applyBorder="1">
      <alignment horizontal="right" vertical="center" indent="1"/>
    </xf>
    <xf numFmtId="165" fontId="5" fillId="0" borderId="3" xfId="6" applyBorder="1">
      <alignment horizontal="right" vertical="center" indent="1"/>
    </xf>
    <xf numFmtId="0" fontId="3" fillId="0" borderId="0" xfId="3">
      <alignment horizontal="left"/>
    </xf>
    <xf numFmtId="0" fontId="5" fillId="0" borderId="0" xfId="4">
      <alignment horizontal="right"/>
    </xf>
    <xf numFmtId="0" fontId="4" fillId="0" borderId="0" xfId="8">
      <alignment horizontal="right" vertical="top"/>
    </xf>
    <xf numFmtId="0" fontId="2" fillId="0" borderId="2" xfId="7">
      <alignment vertical="top" wrapText="1"/>
    </xf>
    <xf numFmtId="0" fontId="2" fillId="2" borderId="2" xfId="7" applyFill="1">
      <alignment vertical="top" wrapText="1"/>
    </xf>
    <xf numFmtId="0" fontId="1" fillId="0" borderId="0" xfId="2">
      <alignment horizontal="left"/>
    </xf>
    <xf numFmtId="0" fontId="7" fillId="0" borderId="0" xfId="0" applyFont="1" applyAlignment="1">
      <alignment horizontal="center" vertical="top"/>
    </xf>
    <xf numFmtId="0" fontId="4" fillId="0" borderId="0" xfId="1">
      <alignment vertical="top"/>
    </xf>
  </cellXfs>
  <cellStyles count="9">
    <cellStyle name="DescripcionesDeDías" xfId="7" xr:uid="{00000000-0005-0000-0000-000000000000}"/>
    <cellStyle name="Encabezado 1" xfId="3" builtinId="16" customBuiltin="1"/>
    <cellStyle name="Encabezado 4" xfId="6" builtinId="19" customBuiltin="1"/>
    <cellStyle name="Etiqueta de entrada alineada a la derecha" xfId="8" xr:uid="{00000000-0005-0000-0000-000006000000}"/>
    <cellStyle name="Etiqueta de entrada alineada a la izquierda" xfId="1" xr:uid="{00000000-0005-0000-0000-000005000000}"/>
    <cellStyle name="Normal" xfId="0" builtinId="0" customBuiltin="1"/>
    <cellStyle name="Título" xfId="2" builtinId="15" customBuiltin="1"/>
    <cellStyle name="Título 2" xfId="4" builtinId="17" customBuiltin="1"/>
    <cellStyle name="Título 3" xfId="5" builtinId="18" customBuiltin="1"/>
  </cellStyles>
  <dxfs count="12">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Monthly Calendar">
      <a:dk1>
        <a:sysClr val="windowText" lastClr="000000"/>
      </a:dk1>
      <a:lt1>
        <a:sysClr val="window" lastClr="FFFFFF"/>
      </a:lt1>
      <a:dk2>
        <a:srgbClr val="122A2D"/>
      </a:dk2>
      <a:lt2>
        <a:srgbClr val="FFF8F2"/>
      </a:lt2>
      <a:accent1>
        <a:srgbClr val="47A6B5"/>
      </a:accent1>
      <a:accent2>
        <a:srgbClr val="FB933B"/>
      </a:accent2>
      <a:accent3>
        <a:srgbClr val="EAC235"/>
      </a:accent3>
      <a:accent4>
        <a:srgbClr val="6BC081"/>
      </a:accent4>
      <a:accent5>
        <a:srgbClr val="E66F3F"/>
      </a:accent5>
      <a:accent6>
        <a:srgbClr val="8F6B7D"/>
      </a:accent6>
      <a:hlink>
        <a:srgbClr val="47A6B5"/>
      </a:hlink>
      <a:folHlink>
        <a:srgbClr val="8F6B7D"/>
      </a:folHlink>
    </a:clrScheme>
    <a:fontScheme name="123b">
      <a:majorFont>
        <a:latin typeface="Calibri"/>
        <a:ea typeface=""/>
        <a:cs typeface=""/>
      </a:majorFont>
      <a:minorFont>
        <a:latin typeface="Calibri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bg1">
            <a:lumMod val="95000"/>
          </a:schemeClr>
        </a:solidFill>
        <a:ln w="6350" cmpd="sng">
          <a:noFill/>
        </a:ln>
      </a:spPr>
      <a:bodyPr vertOverflow="clip" horzOverflow="clip" wrap="square" rtlCol="0" anchor="t"/>
      <a:lstStyle>
        <a:defPPr>
          <a:defRPr sz="1400">
            <a:solidFill>
              <a:schemeClr val="tx1"/>
            </a:solidFill>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1B45A-EFD1-48E0-B8E6-1AC0B22D8ADA}">
  <sheetPr>
    <tabColor theme="4" tint="-0.499984740745262"/>
    <pageSetUpPr fitToPage="1"/>
  </sheetPr>
  <dimension ref="B1:H15"/>
  <sheetViews>
    <sheetView showGridLines="0" showRuler="0" zoomScaleNormal="100" workbookViewId="0">
      <selection activeCell="F1" sqref="F1:H1"/>
    </sheetView>
  </sheetViews>
  <sheetFormatPr baseColWidth="10" defaultColWidth="9" defaultRowHeight="15" x14ac:dyDescent="0.25"/>
  <cols>
    <col min="1" max="1" width="2.5" customWidth="1"/>
    <col min="2" max="8" width="22.625" customWidth="1"/>
  </cols>
  <sheetData>
    <row r="1" spans="2:8" ht="45" customHeight="1" x14ac:dyDescent="0.65">
      <c r="B1" s="5">
        <f ca="1">YEAR(TODAY())</f>
        <v>2025</v>
      </c>
      <c r="C1" s="10" t="s">
        <v>5</v>
      </c>
      <c r="D1" s="10"/>
      <c r="E1" s="6" t="s">
        <v>0</v>
      </c>
      <c r="F1" s="11" t="s">
        <v>23</v>
      </c>
      <c r="G1" s="11"/>
      <c r="H1" s="11"/>
    </row>
    <row r="2" spans="2:8" ht="30" customHeight="1" x14ac:dyDescent="0.25">
      <c r="B2" s="1" t="s">
        <v>1</v>
      </c>
      <c r="C2" s="12" t="s">
        <v>2</v>
      </c>
      <c r="D2" s="12"/>
      <c r="E2" s="7" t="s">
        <v>3</v>
      </c>
    </row>
    <row r="3" spans="2:8" ht="19.5" customHeight="1" thickBot="1" x14ac:dyDescent="0.3">
      <c r="B3" s="2">
        <f t="array" aca="1" ref="B3:H3" ca="1">calendario</f>
        <v>45831</v>
      </c>
      <c r="C3" s="2">
        <f ca="1"/>
        <v>45832</v>
      </c>
      <c r="D3" s="2">
        <f ca="1"/>
        <v>45833</v>
      </c>
      <c r="E3" s="2">
        <f ca="1"/>
        <v>45834</v>
      </c>
      <c r="F3" s="2">
        <f ca="1"/>
        <v>45835</v>
      </c>
      <c r="G3" s="2">
        <f ca="1"/>
        <v>45836</v>
      </c>
      <c r="H3" s="2">
        <f ca="1"/>
        <v>45837</v>
      </c>
    </row>
    <row r="4" spans="2:8" ht="24" customHeight="1" thickTop="1" x14ac:dyDescent="0.25">
      <c r="B4" s="3">
        <f t="array" aca="1" ref="B4:H4" ca="1">INDEX(calendario,ndx+0)</f>
        <v>45838</v>
      </c>
      <c r="C4" s="3">
        <f ca="1"/>
        <v>45839</v>
      </c>
      <c r="D4" s="3">
        <f ca="1"/>
        <v>45840</v>
      </c>
      <c r="E4" s="3">
        <f ca="1"/>
        <v>45841</v>
      </c>
      <c r="F4" s="3">
        <f ca="1"/>
        <v>45842</v>
      </c>
      <c r="G4" s="3">
        <f ca="1"/>
        <v>45843</v>
      </c>
      <c r="H4" s="3">
        <f ca="1"/>
        <v>45844</v>
      </c>
    </row>
    <row r="5" spans="2:8" ht="51" customHeight="1" x14ac:dyDescent="0.25">
      <c r="B5" s="8"/>
      <c r="C5" s="8"/>
      <c r="D5" s="8"/>
      <c r="E5" s="8"/>
      <c r="F5" s="8"/>
      <c r="G5" s="8"/>
      <c r="H5" s="8"/>
    </row>
    <row r="6" spans="2:8" ht="24" customHeight="1" x14ac:dyDescent="0.25">
      <c r="B6" s="4">
        <f t="array" aca="1" ref="B6:H6" ca="1">INDEX(calendario,ndx+1)</f>
        <v>45845</v>
      </c>
      <c r="C6" s="4">
        <f ca="1"/>
        <v>45846</v>
      </c>
      <c r="D6" s="4">
        <f ca="1"/>
        <v>45847</v>
      </c>
      <c r="E6" s="4">
        <f ca="1"/>
        <v>45848</v>
      </c>
      <c r="F6" s="4">
        <f ca="1"/>
        <v>45849</v>
      </c>
      <c r="G6" s="4">
        <f ca="1"/>
        <v>45850</v>
      </c>
      <c r="H6" s="4">
        <f ca="1"/>
        <v>45851</v>
      </c>
    </row>
    <row r="7" spans="2:8" ht="51" customHeight="1" x14ac:dyDescent="0.25">
      <c r="B7" s="8"/>
      <c r="C7" s="8"/>
      <c r="D7" s="8"/>
      <c r="E7" s="8"/>
      <c r="F7" s="8"/>
      <c r="G7" s="8"/>
      <c r="H7" s="8"/>
    </row>
    <row r="8" spans="2:8" ht="24" customHeight="1" x14ac:dyDescent="0.25">
      <c r="B8" s="4">
        <f t="array" aca="1" ref="B8:H8" ca="1">INDEX(calendario,ndx+2)</f>
        <v>45852</v>
      </c>
      <c r="C8" s="4">
        <f ca="1"/>
        <v>45853</v>
      </c>
      <c r="D8" s="4">
        <f ca="1"/>
        <v>45854</v>
      </c>
      <c r="E8" s="4">
        <f ca="1"/>
        <v>45855</v>
      </c>
      <c r="F8" s="4">
        <f ca="1"/>
        <v>45856</v>
      </c>
      <c r="G8" s="4">
        <f ca="1"/>
        <v>45857</v>
      </c>
      <c r="H8" s="4">
        <f ca="1"/>
        <v>45858</v>
      </c>
    </row>
    <row r="9" spans="2:8" ht="51" customHeight="1" x14ac:dyDescent="0.25">
      <c r="B9" s="8"/>
      <c r="C9" s="8"/>
      <c r="D9" s="8" t="s">
        <v>7</v>
      </c>
      <c r="E9" s="8" t="s">
        <v>8</v>
      </c>
      <c r="F9" s="8" t="s">
        <v>9</v>
      </c>
      <c r="G9" s="8"/>
      <c r="H9" s="8"/>
    </row>
    <row r="10" spans="2:8" ht="24" customHeight="1" x14ac:dyDescent="0.25">
      <c r="B10" s="4">
        <f t="array" aca="1" ref="B10:H10" ca="1">INDEX(calendario,ndx+3)</f>
        <v>45859</v>
      </c>
      <c r="C10" s="4">
        <f ca="1"/>
        <v>45860</v>
      </c>
      <c r="D10" s="4">
        <f ca="1"/>
        <v>45861</v>
      </c>
      <c r="E10" s="4">
        <f ca="1"/>
        <v>45862</v>
      </c>
      <c r="F10" s="4">
        <f ca="1"/>
        <v>45863</v>
      </c>
      <c r="G10" s="4">
        <f ca="1"/>
        <v>45864</v>
      </c>
      <c r="H10" s="4">
        <f ca="1"/>
        <v>45865</v>
      </c>
    </row>
    <row r="11" spans="2:8" ht="81.75" customHeight="1" x14ac:dyDescent="0.25">
      <c r="B11" s="8" t="s">
        <v>13</v>
      </c>
      <c r="C11" s="8" t="s">
        <v>17</v>
      </c>
      <c r="D11" s="8" t="s">
        <v>14</v>
      </c>
      <c r="E11" s="8" t="s">
        <v>15</v>
      </c>
      <c r="F11" s="8" t="s">
        <v>16</v>
      </c>
      <c r="G11" s="8"/>
      <c r="H11" s="8"/>
    </row>
    <row r="12" spans="2:8" ht="24" customHeight="1" x14ac:dyDescent="0.25">
      <c r="B12" s="4">
        <f t="array" aca="1" ref="B12:H12" ca="1">INDEX(calendario,ndx+4)</f>
        <v>45866</v>
      </c>
      <c r="C12" s="4">
        <f ca="1"/>
        <v>45867</v>
      </c>
      <c r="D12" s="4">
        <f ca="1"/>
        <v>45868</v>
      </c>
      <c r="E12" s="4">
        <f ca="1"/>
        <v>45869</v>
      </c>
      <c r="F12" s="4">
        <f ca="1"/>
        <v>45870</v>
      </c>
      <c r="G12" s="4">
        <f ca="1"/>
        <v>45871</v>
      </c>
      <c r="H12" s="4">
        <f ca="1"/>
        <v>45872</v>
      </c>
    </row>
    <row r="13" spans="2:8" ht="51" customHeight="1" x14ac:dyDescent="0.25">
      <c r="B13" s="8" t="s">
        <v>20</v>
      </c>
      <c r="C13" s="8" t="s">
        <v>12</v>
      </c>
      <c r="D13" s="8" t="s">
        <v>18</v>
      </c>
      <c r="E13" s="8" t="s">
        <v>19</v>
      </c>
      <c r="F13" s="8"/>
      <c r="G13" s="8"/>
      <c r="H13" s="8"/>
    </row>
    <row r="14" spans="2:8" ht="23.25" customHeight="1" x14ac:dyDescent="0.25">
      <c r="B14" s="4">
        <f t="array" aca="1" ref="B14:H14" ca="1">INDEX(calendario,ndx+5)</f>
        <v>45873</v>
      </c>
      <c r="C14" s="4">
        <f ca="1"/>
        <v>45874</v>
      </c>
      <c r="D14" s="4">
        <f ca="1"/>
        <v>45875</v>
      </c>
      <c r="E14" s="4">
        <f ca="1"/>
        <v>45876</v>
      </c>
      <c r="F14" s="4">
        <f ca="1"/>
        <v>45877</v>
      </c>
      <c r="G14" s="4">
        <f ca="1"/>
        <v>45878</v>
      </c>
      <c r="H14" s="4">
        <f ca="1"/>
        <v>45879</v>
      </c>
    </row>
    <row r="15" spans="2:8" ht="51" customHeight="1" x14ac:dyDescent="0.25">
      <c r="B15" s="8"/>
      <c r="C15" s="8"/>
      <c r="D15" s="8"/>
      <c r="E15" s="8"/>
      <c r="F15" s="8"/>
      <c r="G15" s="8"/>
      <c r="H15" s="8"/>
    </row>
  </sheetData>
  <mergeCells count="3">
    <mergeCell ref="C1:D1"/>
    <mergeCell ref="F1:H1"/>
    <mergeCell ref="C2:D2"/>
  </mergeCells>
  <conditionalFormatting sqref="B4:H4">
    <cfRule type="expression" dxfId="11" priority="1">
      <formula>MonthToDisplayNumber&lt;&gt;MONTH(B4)</formula>
    </cfRule>
  </conditionalFormatting>
  <conditionalFormatting sqref="B6:H6">
    <cfRule type="expression" dxfId="10" priority="6">
      <formula>MonthToDisplayNumber&lt;&gt;MONTH(B6)</formula>
    </cfRule>
  </conditionalFormatting>
  <conditionalFormatting sqref="B8:H8">
    <cfRule type="expression" dxfId="9" priority="5">
      <formula>MonthToDisplayNumber&lt;&gt;MONTH(B8)</formula>
    </cfRule>
  </conditionalFormatting>
  <conditionalFormatting sqref="B10:H10">
    <cfRule type="expression" dxfId="8" priority="4">
      <formula>MonthToDisplayNumber&lt;&gt;MONTH(B10)</formula>
    </cfRule>
  </conditionalFormatting>
  <conditionalFormatting sqref="B12:H12">
    <cfRule type="expression" dxfId="7" priority="3">
      <formula>MonthToDisplayNumber&lt;&gt;MONTH(B12)</formula>
    </cfRule>
  </conditionalFormatting>
  <conditionalFormatting sqref="B14:H14">
    <cfRule type="expression" dxfId="6" priority="2">
      <formula>MonthToDisplayNumber&lt;&gt;MONTH(B14)</formula>
    </cfRule>
  </conditionalFormatting>
  <dataValidations count="8">
    <dataValidation allowBlank="1" showInputMessage="1" showErrorMessage="1" prompt="Esta fila contiene los nombres de los días laborables de este calendario. Esta celda contiene el día de inicio de la semana. Para cambiar el día de inicio, escriba un nuevo día laborable en la celda E1" sqref="B3" xr:uid="{41CDE011-B2B6-43D9-95B7-7E75C47FAC0D}"/>
    <dataValidation allowBlank="1" showInputMessage="1" showErrorMessage="1" sqref="B4" xr:uid="{701326C2-E3AD-45FD-9230-831699B190DF}"/>
    <dataValidation allowBlank="1" showInputMessage="1" showErrorMessage="1" prompt="Las filas 12 y 14 pueden contener fechas del mes siguiente si el final de este mes concluye en alguna de estas filas" sqref="B12" xr:uid="{A54A1F94-DBB7-46CF-A7E7-3B25909100BD}"/>
    <dataValidation allowBlank="1" showInputMessage="1" showErrorMessage="1" prompt="Escribe las notas diarias en esta celda. Las filas 5, 7, 9, 11, 13 y 15 tienen celdas debajo del día de la semana para notas diarias" sqref="B5" xr:uid="{DF58E47D-E0AF-46C8-8009-466C3DBA508B}"/>
    <dataValidation allowBlank="1" showInputMessage="1" showErrorMessage="1" prompt="Escriba el año del mes de este calendario" sqref="B1" xr:uid="{7C4A949C-7D7D-42D7-BB0B-713C9F47CAE8}"/>
    <dataValidation allowBlank="1" showInputMessage="1" showErrorMessage="1" prompt="Este calendario es de un mes de cualquier año y cualquier mes. Seleccione el mes en C1 y escriba un año en B1. Seleccione el día de inicio de la semana del calendario en E1. Escriba las notas diarias en las filas 5, 7, 9, 11, 13 y 15" sqref="A1" xr:uid="{D2AB87C0-BDA1-4B47-869D-4FD3E19B2C46}"/>
    <dataValidation type="list" allowBlank="1" showInputMessage="1" showErrorMessage="1" error="Solo los nombres de mes válidos funcionarán para este calendario. Escriba el mes o selecciónelo de la lista. Para hacerlo seleccione REINTENTAR luego ALT + FLECHA ABAJO y ENTER. Seleccione CANCELAR para salir de la celda" prompt="Escriba el nombre completo del mes o presione ALT+FLECHA ABAJO para desplazarse por la lista y luego ENTRAR para seleccionar un mes" sqref="C1:D1" xr:uid="{73E95F98-BBC9-47FD-90E2-81C3155FFC36}">
      <formula1>"ENERO,FEBRERO,MARZO,ABRIL,MAYO,JUNIO,JULIO,AGOSTO,SEPTIEMBRE,OCTUBRE,NOVIEMBRE,DICIEMBRE"</formula1>
    </dataValidation>
    <dataValidation type="list" allowBlank="1" showInputMessage="1" showErrorMessage="1" error="Only valid weekday names will work for this calendar. Either select RETRY and type the full weekday name or select RETRY and press ALT+DOWN ARROW and ENTER to pick from the list. Select CANCEL to exit the cell" prompt="Seleccione el día de inicio de la semana para este calendario. Escriba el nombre completo del día de la semana o presione ALT + FLECHA ABAJO para navegar por la lista, luego ENTRAR para seleccionar un día de la semana" sqref="E1" xr:uid="{33B28BA8-ED18-4370-8186-ACF4E56824C1}">
      <formula1>"LUNES,MARTES,MIÉRCOLES,JUEVES,VIERNES,SÁBADO,DOMINGO"</formula1>
    </dataValidation>
  </dataValidations>
  <printOptions horizontalCentered="1"/>
  <pageMargins left="0.45" right="0.45" top="0.4" bottom="0.5" header="0.3" footer="0.3"/>
  <pageSetup paperSize="9" scale="85" fitToHeight="0" orientation="landscape" r:id="rId1"/>
  <headerFooter differentFirst="1">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45A2-7B9E-425E-AFB5-D500BEF56647}">
  <sheetPr>
    <tabColor theme="4" tint="-0.499984740745262"/>
    <pageSetUpPr fitToPage="1"/>
  </sheetPr>
  <dimension ref="B1:H15"/>
  <sheetViews>
    <sheetView showGridLines="0" tabSelected="1" showRuler="0" topLeftCell="A3" zoomScaleNormal="100" workbookViewId="0">
      <selection activeCell="C11" sqref="C11:D11"/>
    </sheetView>
  </sheetViews>
  <sheetFormatPr baseColWidth="10" defaultColWidth="9" defaultRowHeight="15" x14ac:dyDescent="0.25"/>
  <cols>
    <col min="1" max="1" width="2.5" customWidth="1"/>
    <col min="2" max="8" width="22.625" customWidth="1"/>
  </cols>
  <sheetData>
    <row r="1" spans="2:8" ht="45" customHeight="1" x14ac:dyDescent="0.65">
      <c r="B1" s="5">
        <f ca="1">YEAR(TODAY())</f>
        <v>2025</v>
      </c>
      <c r="C1" s="10" t="s">
        <v>6</v>
      </c>
      <c r="D1" s="10"/>
      <c r="E1" s="6" t="s">
        <v>0</v>
      </c>
      <c r="F1" s="11" t="s">
        <v>23</v>
      </c>
      <c r="G1" s="11"/>
      <c r="H1" s="11"/>
    </row>
    <row r="2" spans="2:8" ht="30" customHeight="1" x14ac:dyDescent="0.25">
      <c r="B2" s="1" t="s">
        <v>1</v>
      </c>
      <c r="C2" s="12" t="s">
        <v>2</v>
      </c>
      <c r="D2" s="12"/>
      <c r="E2" s="7" t="s">
        <v>3</v>
      </c>
    </row>
    <row r="3" spans="2:8" ht="19.5" customHeight="1" thickBot="1" x14ac:dyDescent="0.3">
      <c r="B3" s="2">
        <f t="array" aca="1" ref="B3:H3" ca="1">calendario</f>
        <v>45859</v>
      </c>
      <c r="C3" s="2">
        <f ca="1"/>
        <v>45860</v>
      </c>
      <c r="D3" s="2">
        <f ca="1"/>
        <v>45861</v>
      </c>
      <c r="E3" s="2">
        <f ca="1"/>
        <v>45862</v>
      </c>
      <c r="F3" s="2">
        <f ca="1"/>
        <v>45863</v>
      </c>
      <c r="G3" s="2">
        <f ca="1"/>
        <v>45864</v>
      </c>
      <c r="H3" s="2">
        <f ca="1"/>
        <v>45865</v>
      </c>
    </row>
    <row r="4" spans="2:8" ht="24" customHeight="1" thickTop="1" x14ac:dyDescent="0.25">
      <c r="B4" s="3">
        <f t="array" aca="1" ref="B4:H4" ca="1">INDEX(calendario,ndx+0)</f>
        <v>45866</v>
      </c>
      <c r="C4" s="3">
        <f ca="1"/>
        <v>45867</v>
      </c>
      <c r="D4" s="3">
        <f ca="1"/>
        <v>45868</v>
      </c>
      <c r="E4" s="3">
        <f ca="1"/>
        <v>45869</v>
      </c>
      <c r="F4" s="3">
        <f ca="1"/>
        <v>45870</v>
      </c>
      <c r="G4" s="3">
        <f ca="1"/>
        <v>45871</v>
      </c>
      <c r="H4" s="3">
        <f ca="1"/>
        <v>45872</v>
      </c>
    </row>
    <row r="5" spans="2:8" ht="51" customHeight="1" x14ac:dyDescent="0.25">
      <c r="B5" s="8"/>
      <c r="C5" s="8"/>
      <c r="D5" s="8"/>
      <c r="E5" s="8"/>
      <c r="F5" s="8" t="s">
        <v>22</v>
      </c>
      <c r="G5" s="8"/>
      <c r="H5" s="8"/>
    </row>
    <row r="6" spans="2:8" ht="24" customHeight="1" x14ac:dyDescent="0.25">
      <c r="B6" s="4">
        <f t="array" aca="1" ref="B6:H6" ca="1">INDEX(calendario,ndx+1)</f>
        <v>45873</v>
      </c>
      <c r="C6" s="4">
        <f ca="1"/>
        <v>45874</v>
      </c>
      <c r="D6" s="4">
        <f ca="1"/>
        <v>45875</v>
      </c>
      <c r="E6" s="4">
        <f ca="1"/>
        <v>45876</v>
      </c>
      <c r="F6" s="4">
        <f ca="1"/>
        <v>45877</v>
      </c>
      <c r="G6" s="4">
        <f ca="1"/>
        <v>45878</v>
      </c>
      <c r="H6" s="4">
        <f ca="1"/>
        <v>45879</v>
      </c>
    </row>
    <row r="7" spans="2:8" ht="51" customHeight="1" x14ac:dyDescent="0.25">
      <c r="B7" s="8" t="s">
        <v>21</v>
      </c>
      <c r="C7" s="8" t="s">
        <v>24</v>
      </c>
      <c r="D7" s="8" t="s">
        <v>25</v>
      </c>
      <c r="E7" s="9" t="s">
        <v>4</v>
      </c>
      <c r="F7" s="8" t="s">
        <v>26</v>
      </c>
      <c r="G7" s="8"/>
      <c r="H7" s="8"/>
    </row>
    <row r="8" spans="2:8" ht="24" customHeight="1" x14ac:dyDescent="0.25">
      <c r="B8" s="4">
        <f t="array" aca="1" ref="B8:H8" ca="1">INDEX(calendario,ndx+2)</f>
        <v>45880</v>
      </c>
      <c r="C8" s="4">
        <f ca="1"/>
        <v>45881</v>
      </c>
      <c r="D8" s="4">
        <f ca="1"/>
        <v>45882</v>
      </c>
      <c r="E8" s="4">
        <f ca="1"/>
        <v>45883</v>
      </c>
      <c r="F8" s="4">
        <f ca="1"/>
        <v>45884</v>
      </c>
      <c r="G8" s="4">
        <f ca="1"/>
        <v>45885</v>
      </c>
      <c r="H8" s="4">
        <f ca="1"/>
        <v>45886</v>
      </c>
    </row>
    <row r="9" spans="2:8" ht="51" customHeight="1" x14ac:dyDescent="0.25">
      <c r="B9" s="8" t="s">
        <v>27</v>
      </c>
      <c r="C9" s="8" t="s">
        <v>28</v>
      </c>
      <c r="D9" s="8" t="s">
        <v>29</v>
      </c>
      <c r="E9" s="8" t="s">
        <v>30</v>
      </c>
      <c r="F9" s="8" t="s">
        <v>31</v>
      </c>
      <c r="G9" s="8"/>
      <c r="H9" s="8"/>
    </row>
    <row r="10" spans="2:8" ht="24" customHeight="1" x14ac:dyDescent="0.25">
      <c r="B10" s="4">
        <f t="array" aca="1" ref="B10:H10" ca="1">INDEX(calendario,ndx+3)</f>
        <v>45887</v>
      </c>
      <c r="C10" s="4">
        <f ca="1"/>
        <v>45888</v>
      </c>
      <c r="D10" s="4">
        <f ca="1"/>
        <v>45889</v>
      </c>
      <c r="E10" s="4">
        <f ca="1"/>
        <v>45890</v>
      </c>
      <c r="F10" s="4">
        <f ca="1"/>
        <v>45891</v>
      </c>
      <c r="G10" s="4">
        <f ca="1"/>
        <v>45892</v>
      </c>
      <c r="H10" s="4">
        <f ca="1"/>
        <v>45893</v>
      </c>
    </row>
    <row r="11" spans="2:8" ht="51" customHeight="1" x14ac:dyDescent="0.25">
      <c r="B11" s="9" t="s">
        <v>4</v>
      </c>
      <c r="C11" s="8" t="s">
        <v>11</v>
      </c>
      <c r="D11" s="8" t="s">
        <v>10</v>
      </c>
      <c r="E11" s="8"/>
      <c r="F11" s="8"/>
      <c r="G11" s="8"/>
      <c r="H11" s="8"/>
    </row>
    <row r="12" spans="2:8" ht="24" customHeight="1" x14ac:dyDescent="0.25">
      <c r="B12" s="4">
        <f t="array" aca="1" ref="B12:H12" ca="1">INDEX(calendario,ndx+4)</f>
        <v>45894</v>
      </c>
      <c r="C12" s="4">
        <f ca="1"/>
        <v>45895</v>
      </c>
      <c r="D12" s="4">
        <f ca="1"/>
        <v>45896</v>
      </c>
      <c r="E12" s="4">
        <f ca="1"/>
        <v>45897</v>
      </c>
      <c r="F12" s="4">
        <f ca="1"/>
        <v>45898</v>
      </c>
      <c r="G12" s="4">
        <f ca="1"/>
        <v>45899</v>
      </c>
      <c r="H12" s="4">
        <f ca="1"/>
        <v>45900</v>
      </c>
    </row>
    <row r="13" spans="2:8" ht="51" customHeight="1" x14ac:dyDescent="0.25">
      <c r="B13" s="8"/>
      <c r="C13" s="8"/>
      <c r="D13" s="8"/>
      <c r="E13" s="8"/>
      <c r="F13" s="8"/>
      <c r="G13" s="8"/>
      <c r="H13" s="8"/>
    </row>
    <row r="14" spans="2:8" ht="23.25" customHeight="1" x14ac:dyDescent="0.25">
      <c r="B14" s="4">
        <f t="array" aca="1" ref="B14:H14" ca="1">INDEX(calendario,ndx+5)</f>
        <v>45901</v>
      </c>
      <c r="C14" s="4">
        <f ca="1"/>
        <v>45902</v>
      </c>
      <c r="D14" s="4">
        <f ca="1"/>
        <v>45903</v>
      </c>
      <c r="E14" s="4">
        <f ca="1"/>
        <v>45904</v>
      </c>
      <c r="F14" s="4">
        <f ca="1"/>
        <v>45905</v>
      </c>
      <c r="G14" s="4">
        <f ca="1"/>
        <v>45906</v>
      </c>
      <c r="H14" s="4">
        <f ca="1"/>
        <v>45907</v>
      </c>
    </row>
    <row r="15" spans="2:8" ht="51" customHeight="1" x14ac:dyDescent="0.25">
      <c r="B15" s="8"/>
      <c r="C15" s="8"/>
      <c r="D15" s="8"/>
      <c r="E15" s="8"/>
      <c r="F15" s="8"/>
      <c r="G15" s="8"/>
      <c r="H15" s="8"/>
    </row>
  </sheetData>
  <mergeCells count="3">
    <mergeCell ref="C1:D1"/>
    <mergeCell ref="F1:H1"/>
    <mergeCell ref="C2:D2"/>
  </mergeCells>
  <conditionalFormatting sqref="B4:H4">
    <cfRule type="expression" dxfId="5" priority="1">
      <formula>MonthToDisplayNumber&lt;&gt;MONTH(B4)</formula>
    </cfRule>
  </conditionalFormatting>
  <conditionalFormatting sqref="B6:H6">
    <cfRule type="expression" dxfId="4" priority="6">
      <formula>MonthToDisplayNumber&lt;&gt;MONTH(B6)</formula>
    </cfRule>
  </conditionalFormatting>
  <conditionalFormatting sqref="B8:H8">
    <cfRule type="expression" dxfId="3" priority="5">
      <formula>MonthToDisplayNumber&lt;&gt;MONTH(B8)</formula>
    </cfRule>
  </conditionalFormatting>
  <conditionalFormatting sqref="B10:H10">
    <cfRule type="expression" dxfId="2" priority="4">
      <formula>MonthToDisplayNumber&lt;&gt;MONTH(B10)</formula>
    </cfRule>
  </conditionalFormatting>
  <conditionalFormatting sqref="B12:H12">
    <cfRule type="expression" dxfId="1" priority="3">
      <formula>MonthToDisplayNumber&lt;&gt;MONTH(B12)</formula>
    </cfRule>
  </conditionalFormatting>
  <conditionalFormatting sqref="B14:H14">
    <cfRule type="expression" dxfId="0" priority="2">
      <formula>MonthToDisplayNumber&lt;&gt;MONTH(B14)</formula>
    </cfRule>
  </conditionalFormatting>
  <dataValidations count="8">
    <dataValidation allowBlank="1" showInputMessage="1" showErrorMessage="1" prompt="Esta fila contiene los nombres de los días laborables de este calendario. Esta celda contiene el día de inicio de la semana. Para cambiar el día de inicio, escriba un nuevo día laborable en la celda E1" sqref="B3" xr:uid="{A6177E23-A1CD-4D6C-871C-FEDD1D508B1D}"/>
    <dataValidation allowBlank="1" showInputMessage="1" showErrorMessage="1" sqref="B4" xr:uid="{611EA26F-D5B7-4EB5-9B11-FA84CE5C1CF9}"/>
    <dataValidation allowBlank="1" showInputMessage="1" showErrorMessage="1" prompt="Las filas 12 y 14 pueden contener fechas del mes siguiente si el final de este mes concluye en alguna de estas filas" sqref="B12" xr:uid="{41DBCA2A-3450-45A7-B817-614E4DE8E41D}"/>
    <dataValidation type="list" allowBlank="1" showInputMessage="1" showErrorMessage="1" error="Only valid weekday names will work for this calendar. Either select RETRY and type the full weekday name or select RETRY and press ALT+DOWN ARROW and ENTER to pick from the list. Select CANCEL to exit the cell" prompt="Seleccione el día de inicio de la semana para este calendario. Escriba el nombre completo del día de la semana o presione ALT + FLECHA ABAJO para navegar por la lista, luego ENTRAR para seleccionar un día de la semana" sqref="E1" xr:uid="{4F4CC8D5-24E9-4ED4-98CA-7816F337D1D5}">
      <formula1>"LUNES,MARTES,MIÉRCOLES,JUEVES,VIERNES,SÁBADO,DOMINGO"</formula1>
    </dataValidation>
    <dataValidation type="list" allowBlank="1" showInputMessage="1" showErrorMessage="1" error="Solo los nombres de mes válidos funcionarán para este calendario. Escriba el mes o selecciónelo de la lista. Para hacerlo seleccione REINTENTAR luego ALT + FLECHA ABAJO y ENTER. Seleccione CANCELAR para salir de la celda" prompt="Escriba el nombre completo del mes o presione ALT+FLECHA ABAJO para desplazarse por la lista y luego ENTRAR para seleccionar un mes" sqref="C1:D1" xr:uid="{8231E80B-9FDA-4E9E-B13F-A93AB1F4A3A7}">
      <formula1>"ENERO,FEBRERO,MARZO,ABRIL,MAYO,JUNIO,JULIO,AGOSTO,SEPTIEMBRE,OCTUBRE,NOVIEMBRE,DICIEMBRE"</formula1>
    </dataValidation>
    <dataValidation allowBlank="1" showInputMessage="1" showErrorMessage="1" prompt="Este calendario es de un mes de cualquier año y cualquier mes. Seleccione el mes en C1 y escriba un año en B1. Seleccione el día de inicio de la semana del calendario en E1. Escriba las notas diarias en las filas 5, 7, 9, 11, 13 y 15" sqref="A1" xr:uid="{C5C42E46-E860-4A46-A988-51A803E384C1}"/>
    <dataValidation allowBlank="1" showInputMessage="1" showErrorMessage="1" prompt="Escriba el año del mes de este calendario" sqref="B1" xr:uid="{70F818EF-C31A-46A6-AB0D-7BA7F15C70F2}"/>
    <dataValidation allowBlank="1" showInputMessage="1" showErrorMessage="1" prompt="Escribe las notas diarias en esta celda. Las filas 5, 7, 9, 11, 13 y 15 tienen celdas debajo del día de la semana para notas diarias" sqref="B5" xr:uid="{3A8C4D76-F1C8-42C3-A908-5D9EEBD3DABB}"/>
  </dataValidations>
  <printOptions horizontalCentered="1"/>
  <pageMargins left="0.45" right="0.45" top="0.4" bottom="0.5" header="0.3" footer="0.3"/>
  <pageSetup paperSize="9" scale="85" fitToHeight="0" orientation="landscape" r:id="rId1"/>
  <headerFooter differentFirst="1">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8</vt:i4>
      </vt:variant>
    </vt:vector>
  </HeadingPairs>
  <TitlesOfParts>
    <vt:vector size="10" baseType="lpstr">
      <vt:lpstr>JULIO</vt:lpstr>
      <vt:lpstr>AGOSTO</vt:lpstr>
      <vt:lpstr>AGOSTO!DayToStart</vt:lpstr>
      <vt:lpstr>JULIO!DayToStart</vt:lpstr>
      <vt:lpstr>AGOSTO!MonthToDisplay</vt:lpstr>
      <vt:lpstr>JULIO!MonthToDisplay</vt:lpstr>
      <vt:lpstr>AGOSTO!Títulos_a_imprimir</vt:lpstr>
      <vt:lpstr>JULIO!Títulos_a_imprimir</vt:lpstr>
      <vt:lpstr>AGOSTO!YearToDisplay</vt:lpstr>
      <vt:lpstr>JULIO!YearToDisplay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2019-07-12T07:00:54Z</dcterms:created>
  <dcterms:modified xsi:type="dcterms:W3CDTF">2025-07-30T15:36:20Z</dcterms:modified>
  <cp:category/>
  <cp:contentStatus/>
</cp:coreProperties>
</file>